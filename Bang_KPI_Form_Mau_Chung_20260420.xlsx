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D:\Chuyên đề 2025\PCCC\Chương trình\"/>
    </mc:Choice>
  </mc:AlternateContent>
  <xr:revisionPtr revIDLastSave="0" documentId="8_{5C0F879B-5A04-477B-B96C-FC79ACB26DBC}" xr6:coauthVersionLast="47" xr6:coauthVersionMax="47" xr10:uidLastSave="{00000000-0000-0000-0000-000000000000}"/>
  <bookViews>
    <workbookView xWindow="810" yWindow="-120" windowWidth="37710" windowHeight="21840" xr2:uid="{00000000-000D-0000-FFFF-FFFF00000000}"/>
  </bookViews>
  <sheets>
    <sheet name="Bảng KPI"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60" i="1" l="1"/>
  <c r="K59" i="1"/>
  <c r="K58" i="1"/>
  <c r="K56" i="1"/>
  <c r="K55" i="1"/>
  <c r="K54" i="1"/>
  <c r="K52" i="1"/>
  <c r="K51" i="1"/>
  <c r="K50" i="1"/>
  <c r="K49" i="1"/>
  <c r="K48" i="1"/>
  <c r="K47" i="1"/>
  <c r="K45" i="1"/>
  <c r="K44" i="1"/>
  <c r="K43" i="1"/>
  <c r="K41" i="1"/>
  <c r="K40" i="1"/>
  <c r="K39" i="1"/>
  <c r="K38" i="1"/>
  <c r="K37" i="1"/>
  <c r="K36" i="1"/>
  <c r="K35" i="1"/>
  <c r="K33" i="1"/>
  <c r="K32" i="1"/>
  <c r="K31" i="1"/>
  <c r="K30" i="1"/>
  <c r="K28" i="1"/>
  <c r="K27" i="1"/>
  <c r="K26" i="1"/>
  <c r="K25" i="1"/>
  <c r="K23" i="1"/>
  <c r="K22" i="1"/>
  <c r="K21" i="1"/>
  <c r="K20" i="1"/>
  <c r="K19" i="1"/>
  <c r="K17" i="1"/>
  <c r="K16" i="1"/>
  <c r="K15" i="1"/>
  <c r="K14" i="1"/>
  <c r="K13" i="1"/>
  <c r="K12" i="1"/>
  <c r="K4" i="1"/>
  <c r="K5" i="1"/>
  <c r="K6" i="1"/>
  <c r="K7" i="1"/>
  <c r="K8" i="1"/>
  <c r="K9" i="1"/>
  <c r="K10" i="1"/>
  <c r="J60" i="1"/>
  <c r="J59" i="1"/>
  <c r="J58" i="1"/>
  <c r="J56" i="1"/>
  <c r="J55" i="1"/>
  <c r="J54" i="1"/>
  <c r="J52" i="1"/>
  <c r="J51" i="1"/>
  <c r="J50" i="1"/>
  <c r="J49" i="1"/>
  <c r="J48" i="1"/>
  <c r="J47" i="1"/>
  <c r="J45" i="1"/>
  <c r="J44" i="1"/>
  <c r="J43" i="1"/>
  <c r="J41" i="1"/>
  <c r="J40" i="1"/>
  <c r="J39" i="1"/>
  <c r="J38" i="1"/>
  <c r="J37" i="1"/>
  <c r="J36" i="1"/>
  <c r="J35" i="1"/>
  <c r="J33" i="1"/>
  <c r="J32" i="1"/>
  <c r="J31" i="1"/>
  <c r="J30" i="1"/>
  <c r="J28" i="1"/>
  <c r="J27" i="1"/>
  <c r="J26" i="1"/>
  <c r="J25" i="1"/>
  <c r="J23" i="1"/>
  <c r="J22" i="1"/>
  <c r="J21" i="1"/>
  <c r="J20" i="1"/>
  <c r="J19" i="1"/>
  <c r="J17" i="1"/>
  <c r="J16" i="1"/>
  <c r="J15" i="1"/>
  <c r="J14" i="1"/>
  <c r="J13" i="1"/>
  <c r="J12" i="1"/>
  <c r="J4" i="1"/>
  <c r="J5" i="1"/>
  <c r="J6" i="1"/>
  <c r="J7" i="1"/>
  <c r="J8" i="1"/>
  <c r="J9" i="1"/>
  <c r="J10" i="1"/>
  <c r="J3" i="1"/>
  <c r="K3" i="1" s="1"/>
</calcChain>
</file>

<file path=xl/sharedStrings.xml><?xml version="1.0" encoding="utf-8"?>
<sst xmlns="http://schemas.openxmlformats.org/spreadsheetml/2006/main" count="317" uniqueCount="137">
  <si>
    <t>NHÓM / CHỈ TIÊU NHIỆM VỤ</t>
  </si>
  <si>
    <t>ĐVT</t>
  </si>
  <si>
    <t>CHU KỲ</t>
  </si>
  <si>
    <t>ƯU TIÊN</t>
  </si>
  <si>
    <t>TRỌNG SỐ (%)</t>
  </si>
  <si>
    <t>KIỂU</t>
  </si>
  <si>
    <t>MỤC TIÊU</t>
  </si>
  <si>
    <t>% ĐẠT</t>
  </si>
  <si>
    <t>ĐIỂM</t>
  </si>
  <si>
    <t>SẢN PHẨM ĐẦU RA / GHI CHÚ</t>
  </si>
  <si>
    <t>01. QUẢN LÝ ĐỊA BÀN &amp; DÂN CƯ</t>
  </si>
  <si>
    <t xml:space="preserve">   - Số hộ dân được thăm hỏi hàng tuần, cập nhật sổ KV1, KV2</t>
  </si>
  <si>
    <t>Hộ</t>
  </si>
  <si>
    <t>Hàng tuần</t>
  </si>
  <si>
    <t>TB</t>
  </si>
  <si>
    <t>Số</t>
  </si>
  <si>
    <t>Số lượng hộ gia đình được kiểm tra tại sổ KV01.</t>
  </si>
  <si>
    <t xml:space="preserve">   - Cập nhật Sổ nhật ký địa bàn</t>
  </si>
  <si>
    <t>Lần</t>
  </si>
  <si>
    <t>Cập nhật đầy đủ theo biểu mẫu</t>
  </si>
  <si>
    <t xml:space="preserve">   - Cập nhật biến động dân cư trên CSDL, Gửi CT10 đối với các trường hợp KT2 đi</t>
  </si>
  <si>
    <t>Biến động dân cư, CT10 ngoài hồ sơ được tạo trên hệ thống</t>
  </si>
  <si>
    <t xml:space="preserve">   - Điều chỉnh địa chỉ số nhà vào nơi ở hiện nay hộ dân trên DC02</t>
  </si>
  <si>
    <t>Số lượng DC02 được gửi phê duyệt trên hệ thống</t>
  </si>
  <si>
    <t xml:space="preserve">   - Số tin báo ANTT trên địa bàn trong đó (50% là tin có giá trị) viết vào sổ trích tin</t>
  </si>
  <si>
    <t>Tin</t>
  </si>
  <si>
    <t>Số lượng tin báo trong sổ tin báo vụ việc, hiện tượng KV5</t>
  </si>
  <si>
    <t xml:space="preserve">   - Lượt kiểm tra tạm trú</t>
  </si>
  <si>
    <t>lượt</t>
  </si>
  <si>
    <t>Số biên bản kiểm tra tạm trú, nhân hộ khẩu.</t>
  </si>
  <si>
    <t xml:space="preserve">   - Kiểm tra, trả lời xác minh CT10 đúng hạn</t>
  </si>
  <si>
    <t>%</t>
  </si>
  <si>
    <t>100% CT10 không bị quá hạn trên hệ thống</t>
  </si>
  <si>
    <t xml:space="preserve">   - Tỷ lệ CSKV nắm được 04 nội dung thông thuộc nhân khẩu</t>
  </si>
  <si>
    <t>người</t>
  </si>
  <si>
    <t>Số lượng hộ gia đình được kiểm tra tại sổ sổ KV02. Khi hỏi CSKV nắm được thông tin nhân khẩu</t>
  </si>
  <si>
    <t>02. QUẢN LÝ &amp; GIÁO DỤC ĐỐI TƯỢNG</t>
  </si>
  <si>
    <t xml:space="preserve">   - Tổng số đối tượng được lập danh sách, nhập hệ thống, có hồ sơ quản lý, sổ KV3 với thực tế</t>
  </si>
  <si>
    <t>Kiểm tra, đối soát không phát hiện sai lệch giữa số hồ sơ, hệ thống, KV03</t>
  </si>
  <si>
    <t xml:space="preserve">   - Số đối tượng thông thuộc 04 biết</t>
  </si>
  <si>
    <t>ĐT</t>
  </si>
  <si>
    <t>Số đối tượng được cập nhật thông tin vào sổ KV03, Khi kiểm tra nắm được đầy đủ thông tin đối tượng</t>
  </si>
  <si>
    <t xml:space="preserve">   - Gặp gỡ, nắm tình hình, giáo dục đối tượng</t>
  </si>
  <si>
    <t>Số đối tượng được cập nhật thông tin vào sổ KV03</t>
  </si>
  <si>
    <t xml:space="preserve">   - Thông báo đối tượng di chuyển ngay khi phát hiện đối tượng không sinh sống tại địa phương</t>
  </si>
  <si>
    <t>100% số đối tượng di chuyển phải cập nhật ngay trên hệ thống, biến động dân cư, ra thông báo theo quy định</t>
  </si>
  <si>
    <t xml:space="preserve">   - Báo cáo trao đổi thông tin về đối tượng đối với tổ PCTP</t>
  </si>
  <si>
    <t>vụ</t>
  </si>
  <si>
    <t>Số biên bản báo cáo trao đổi</t>
  </si>
  <si>
    <t xml:space="preserve">   - Tổ chức tiếp nhận, thiết lập hồ sơ, cập nhật lên phần mềm, Vào sổ KV3 đúng thời hạn</t>
  </si>
  <si>
    <t>Có hồ sơ lập mới, vào sổ KV03 đầy đủ, Nhập lên hệ thống đúng quy trình sau khi có thông báo,...</t>
  </si>
  <si>
    <t>03. XỬ LÝ VI PHẠM HÀNH CHÍNH &amp; TỐ GIÁC</t>
  </si>
  <si>
    <t xml:space="preserve">   - Tin báo, tố giác tiếp nhận xử lý khi được giao</t>
  </si>
  <si>
    <t>Số lượng tin báo được giải quyết xử lý đúng thời hạn</t>
  </si>
  <si>
    <t xml:space="preserve">   - Hoàn thành đúng tiến độ hồ sơ giáo dục tại xã khi được giao</t>
  </si>
  <si>
    <t>Hoàn thiện hồ sơ, đăng ký lập hồ sơ đúng quy trình, thời hạn</t>
  </si>
  <si>
    <t xml:space="preserve">   - Tỷ lệ vụ VPHC đúng thời hạn, đúng thẩm quyền khi được phân công</t>
  </si>
  <si>
    <t>Hoàn thiện hồ sơ, lập biên bản, quyết định theo quy trình, thời hạn</t>
  </si>
  <si>
    <t xml:space="preserve">   - Kiểm tra, xử phạt cơ sở kinh doanh có điều kiện về ANTT vi phạm</t>
  </si>
  <si>
    <t>lần</t>
  </si>
  <si>
    <t>Hàng tháng</t>
  </si>
  <si>
    <t>Biên bản kiểm tra, các kết quả nội dung công tác quản lý, kết quả xử lý, xử phạt (nếu có)</t>
  </si>
  <si>
    <t xml:space="preserve">   - Tiếp xúc, trả lời iHanoi, VNeID đúng thời hạn, thẩm quyền</t>
  </si>
  <si>
    <t>Tiếp nhận, xử lý, báo cáo đúng thời hạn, thẩm quyền, quy trình</t>
  </si>
  <si>
    <t>04. PHONG TRÀO BVANTQ</t>
  </si>
  <si>
    <t xml:space="preserve">   - Tham mưu kiện toàn, bổ sung kịp thời theo yêu cầu</t>
  </si>
  <si>
    <t>Báo cáo đề xuất bổ sung, thanh loại thường xuyên, kịp thời so với thực tiễn công tác</t>
  </si>
  <si>
    <t xml:space="preserve">   - Tổ chức tuần tra nhân dân định kỳ có ghi chép sổ tuần tra</t>
  </si>
  <si>
    <t>Tổ chức tuần tra đầy đủ, ghi chép đầy đủ sổ tuần tra đầy đủ</t>
  </si>
  <si>
    <t xml:space="preserve">   - Triển khai có kết quả, báo cáo định kỳ đầy đủ hàng tháng mô hình 3 nhất</t>
  </si>
  <si>
    <t>MH</t>
  </si>
  <si>
    <t>Báo cáo hàng tháng, hàng quý về kết quả triển khai, những khó khăn, vướng mắc và đề xuất biện pháp, phương hướng triển khai tiếp theo</t>
  </si>
  <si>
    <t xml:space="preserve">   - Tổ chức họp giao ban định kỳ hàng tháng ghi chép đầy đủ trong sổ</t>
  </si>
  <si>
    <t>Ghi biên bản giao ban đầy đủ trong sổ giao ban công tác an ninh</t>
  </si>
  <si>
    <t>05. TUYÊN TRUYỀN &amp; HÒA GIẢI</t>
  </si>
  <si>
    <t xml:space="preserve">   - Tổ chức Tuyên truyền pháp luật ANTT trực tiếp hoặc qua hội nhóm, kênh cộng đồng</t>
  </si>
  <si>
    <t>buổi</t>
  </si>
  <si>
    <t>Link bài viết, hình ảnh chụp màn hình đăng tải tuyên truyền trên các hội nhóm Facebook, zalo của thôn, xóm,..</t>
  </si>
  <si>
    <t xml:space="preserve">   - Người dân tiếp cận tuyên truyền, tiếp cận được dịch vụ công</t>
  </si>
  <si>
    <t>Hình ảnh tuyên truyền, hướng dẫn người dân thực hiện dịch vụ công qua VNeID, tích hợp ASXH...</t>
  </si>
  <si>
    <t xml:space="preserve">   - Vụ mâu thuẫn tham mưu tổ hòa giải giải quyết thành công</t>
  </si>
  <si>
    <t>Tham mưu tổ chức hòa giải các vụ việc mâu thuẫn trong nhân dân từ sớm.</t>
  </si>
  <si>
    <t xml:space="preserve">   - Mâu thuẫn phát hiện sớm không để phát sinh phức tạp ANTT</t>
  </si>
  <si>
    <t>Không để xảy ra vụ việc phức tạp về ANTT liên quan đến mâu thuẫn trong Nhân dân.</t>
  </si>
  <si>
    <t>06. NGHIỆP VỤ CƠ BẢN &amp; PHỐI HỢP</t>
  </si>
  <si>
    <t xml:space="preserve">   - Báo cáo định kỳ, thường xuyên công tác ĐTCB địa bàn</t>
  </si>
  <si>
    <t>BC</t>
  </si>
  <si>
    <t>Hàng quý</t>
  </si>
  <si>
    <t>Báo cáo công tác ĐTCB định kỳ hàng quý hoặc đột xuất đúng thời hạn</t>
  </si>
  <si>
    <t xml:space="preserve">   - Tham gia phương án ANTT</t>
  </si>
  <si>
    <t>Tham gia đầy đủ các phương án bảo đảm ANTT trên địa bàn.</t>
  </si>
  <si>
    <t xml:space="preserve">   - Tham gia phối hợp cung cấp lý lịch, thông tin đối tượng</t>
  </si>
  <si>
    <t>Cung cấp lý lịch, vào sổ theo dõi cấp lý lịch đầy đủ, theo dõi chặt chẽ diễn biến vụ việc và xác minh triệt để hình thức xử lý cuối cùng.</t>
  </si>
  <si>
    <t xml:space="preserve">   - Xây dựng và sử dụng ít nhất 01 CSBM</t>
  </si>
  <si>
    <t>CS</t>
  </si>
  <si>
    <t>Hàng năm</t>
  </si>
  <si>
    <t>Thường xuyên duy trì, sinh hoạt đảm bảo thực chất, có hiệu quả, không có cơ sở phân loại yếu, kém.</t>
  </si>
  <si>
    <t xml:space="preserve">   - Phối hợp cung cấp thông tin cùng tổ PCTP trong quản lý đối tượng, quản lý cơ sở</t>
  </si>
  <si>
    <t>Báo cáo tình hình địa bàn đề xuất phối hợp hàng tháng. Hoặc căn cứ cơ sở trao đổi đề xuất phối hợp quản lý đối tượng, cơ sở nghi vấn. Không có tình trạng lọt đối tượng, cơ sở vi phạm không nắm được, đơn vị khác xử lý, bắt.</t>
  </si>
  <si>
    <t xml:space="preserve">   - Báo cáo định kỳ đầy đủ, đúng hạn</t>
  </si>
  <si>
    <t>THực hiện chế độ thông tin báo cáo định kỳ đầy đủ, không có báo cáo chậm muộn.</t>
  </si>
  <si>
    <t xml:space="preserve">   - Kết thúc, nộp lưu hồ sơ đúng quy trình, thời hạn</t>
  </si>
  <si>
    <t>Thực hiện công tác hồ sơ đúng, đầy đủ quy trình và thời hạn. Không có hồ sơ chậm muộn, vi phạm chế độ đăng ký, kết thúc hồ sơ.</t>
  </si>
  <si>
    <t>07. THÔNG TIN BÁO CÁO &amp; ĐỀ ÁN 06, LÀM SẠCH DỮ LIỆU</t>
  </si>
  <si>
    <t xml:space="preserve">   - Báo cáo định kỳ đúng hạn theo nhiệm vụ được giao, không để quá hạn</t>
  </si>
  <si>
    <t xml:space="preserve">   - Vận động tuyên truyền người dân sử dụng VNeID, Tích hợp ASXH</t>
  </si>
  <si>
    <t>Hình ảnh hướng dẫn người dân, tỉ lệ tích hợp ASXH trên VNeID tăng đủ KPI.</t>
  </si>
  <si>
    <t xml:space="preserve">   - Thực hiện các chỉ tiêu làm sạch</t>
  </si>
  <si>
    <t>Các chỉ tiêu về làm sạch được làm sạch thường xuyên, liên tục đạt đảm bảo tỉ lệ giảm trừ trên DC01 hoặc có báo cáo giải trình cụ thể</t>
  </si>
  <si>
    <t>08. QUẢN LÝ NGÀNH NGHỀ ĐẦU TƯ KINH DOANH CÓ ĐIỀU KIỆN VÀ VẬN ĐỘNG THU HỒI VK, VLN, CCHT</t>
  </si>
  <si>
    <t xml:space="preserve">   - Điều tra cơ bản lập danh sách cơ sở trong diện quản lý</t>
  </si>
  <si>
    <t>Hàng tháng phải có báo cáo đầy đủ về di biến động các cơ sở trong diện quản lý, không có cơ sở hoạt động mà không trong danh sách quản lý.</t>
  </si>
  <si>
    <t xml:space="preserve">   - Lập hồ sơ quản lý đối với cơ sở không quá 03 ngày khi có ANTT; khi phát hiện</t>
  </si>
  <si>
    <t>Lập hồ sơ quản lý đầy đủ, Không có cơ sở hoạt động mà không có hồ sơ quản lý</t>
  </si>
  <si>
    <t xml:space="preserve">   - Báo cáo trao đổi định kỳ, tham gia rà duyệt hàng tháng đưa vào diện xử lý</t>
  </si>
  <si>
    <t>Hàng tháng định kỳ tham gia rà duyệt đưa cơ sở nghi vấn vào diện quản lý hoặc đột xuất có báo cáo phối hợp cùng PCTP đưa vào diện quản lý nghi vấn vi phạm.</t>
  </si>
  <si>
    <t xml:space="preserve">   - Nắm vững hoạt động cơ sở, không để cơ sở vi phạm đặc biệt liên quan ma túy, mại dâm, bóng cười,...</t>
  </si>
  <si>
    <t>Không có cơ sở không trong diện nghi vấn hoạt động vi phạm bị bắt xử lý.</t>
  </si>
  <si>
    <t xml:space="preserve">   - Vận động thu hồi vũ khí, vật liệu nổ, công cụ hỗ trợ, pháp</t>
  </si>
  <si>
    <t>Hoàn thành chỉ tiêu KPI về vận động thu hồi được giao</t>
  </si>
  <si>
    <t xml:space="preserve">   - Tổ chức kiểm tra, xử lý cơ sở theo đợt cao điểm</t>
  </si>
  <si>
    <t>BIên bản kiểm tra theo đợt cao điểm</t>
  </si>
  <si>
    <t>09. CÔNG TÁC PCCC VÀ CNCH</t>
  </si>
  <si>
    <t xml:space="preserve">   - Điều tra cơ bản lập danh sách đầy đủ không sót lọt cơ sở, diện đối tượng quản lý</t>
  </si>
  <si>
    <t>Hàng tháng có báo cáo đầy đủ về di biến động các cơ sở trong diện quản lý, không có cơ sở hoạt động mà không trong danh sách quản lý.</t>
  </si>
  <si>
    <t xml:space="preserve">   - Không để các cơ sở có nguy cơ cháy nổ cao hoạt động mà không báo cáo đề xuất biện pháp xử lý</t>
  </si>
  <si>
    <t>Hàng tháng định kỳ hoặc đột xuất có báo cáo đề xuất tổ chức tham mưu UBND xã kiểm tra hoặc PC07 kiểm tra có biện pháp xử lý không để cơ sở hoạt động.</t>
  </si>
  <si>
    <t xml:space="preserve">   - Tổ chức tuyên truyền, phối hợp kiểm tra các cơ sở trên địa bàn quản lý</t>
  </si>
  <si>
    <t>Thực hiện công tác tuyên truyền, phối hợp kiểm tra khi có yêu cầu</t>
  </si>
  <si>
    <t xml:space="preserve">   - Thực hiện xây dựng chương trình, báo cáo công tác đầy đủ tháng, quý</t>
  </si>
  <si>
    <t xml:space="preserve">   - Xây dựng viết sổ và trình ký kế hoạch công tác tuần đầy đủ</t>
  </si>
  <si>
    <t xml:space="preserve">   - Chấp hành nghiêm điều lệnh, nội vụ; Không để vi phạm kỷ luật, vi phạm quy trình công tác</t>
  </si>
  <si>
    <t>Không vi phạm điều lệnh, nội vụ, kỷ luật và vi phạm quy trình công tác</t>
  </si>
  <si>
    <t>Tiến độ</t>
  </si>
  <si>
    <t>TỐI THIỂU</t>
  </si>
  <si>
    <r>
      <t xml:space="preserve">Trọng số tổng tất cả chỉ tiêu phải đạt 100. Trọng số là thước đo của mức độ quan trọng của chỉ tiêu để tính ra điểm. Điểm sẽ bằng trọng </t>
    </r>
    <r>
      <rPr>
        <b/>
        <sz val="12"/>
        <color theme="1"/>
        <rFont val="Calibri"/>
        <family val="2"/>
        <scheme val="minor"/>
      </rPr>
      <t>s</t>
    </r>
    <r>
      <rPr>
        <sz val="12"/>
        <color theme="1"/>
        <rFont val="Calibri"/>
        <family val="2"/>
        <scheme val="minor"/>
      </rPr>
      <t>ố nhân với % hoàn thành</t>
    </r>
  </si>
  <si>
    <t>10. CÔNG TÁC XDLL &amp; CÔNG TÁC ĐẢNG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</si>
</sst>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scheme val="minor"/>
    </font>
    <font>
      <sz val="12"/>
      <color theme="1"/>
      <name val="Calibri"/>
      <family val="2"/>
      <scheme val="minor"/>
    </font>
    <font>
      <b/>
      <sz val="12"/>
      <color theme="1"/>
      <name val="Calibri"/>
      <family val="2"/>
      <scheme val="min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3">
    <xf numFmtId="0" fontId="0" fillId="0" borderId="0" xfId="0"/>
    <xf numFmtId="0" fontId="0" fillId="0" borderId="0" xfId="0" applyAlignment="1">
      <alignment wrapText="1"/>
    </xf>
    <xf numFmtId="0" fontId="0" fillId="0" borderId="1" xfId="0" applyBorder="1" applyAlignment="1">
      <alignment wrapText="1"/>
    </xf>
    <xf numFmtId="0" fontId="0" fillId="0" borderId="1" xfId="0" applyBorder="1"/>
    <xf numFmtId="0" fontId="2" fillId="0" borderId="1" xfId="0" applyFont="1" applyBorder="1" applyAlignment="1">
      <alignment wrapText="1"/>
    </xf>
    <xf numFmtId="0" fontId="2" fillId="0" borderId="0" xfId="0" applyFont="1"/>
    <xf numFmtId="9" fontId="2" fillId="0" borderId="1" xfId="1" applyFont="1" applyBorder="1" applyAlignment="1">
      <alignment wrapText="1"/>
    </xf>
    <xf numFmtId="9" fontId="0" fillId="0" borderId="1" xfId="1" applyFont="1" applyBorder="1"/>
    <xf numFmtId="9" fontId="0" fillId="0" borderId="0" xfId="1" applyFont="1"/>
    <xf numFmtId="0" fontId="2" fillId="0" borderId="2" xfId="0" applyFont="1" applyBorder="1" applyAlignment="1">
      <alignment horizontal="center" wrapText="1"/>
    </xf>
    <xf numFmtId="0" fontId="2" fillId="0" borderId="3" xfId="0" applyFont="1" applyBorder="1" applyAlignment="1">
      <alignment horizontal="center" wrapText="1"/>
    </xf>
    <xf numFmtId="0" fontId="2" fillId="0" borderId="4" xfId="0" applyFont="1" applyBorder="1" applyAlignment="1">
      <alignment horizontal="center" wrapText="1"/>
    </xf>
    <xf numFmtId="0" fontId="0" fillId="0" borderId="0" xfId="0" applyAlignment="1">
      <alignment horizontal="center" vertical="center" wrapText="1"/>
    </xf>
  </cellXfs>
  <cellStyles count="2">
    <cellStyle name="Normal" xfId="0" builtinId="0"/>
    <cellStyle name="Percent" xfId="1" builtinId="5"/>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60"/>
  <sheetViews>
    <sheetView tabSelected="1" topLeftCell="A55" workbookViewId="0">
      <selection activeCell="M64" sqref="M64"/>
    </sheetView>
  </sheetViews>
  <sheetFormatPr defaultRowHeight="15.75" x14ac:dyDescent="0.25"/>
  <cols>
    <col min="1" max="1" width="35.875" style="1" customWidth="1"/>
    <col min="2" max="2" width="5.75" bestFit="1" customWidth="1"/>
    <col min="3" max="3" width="6.75" style="1" customWidth="1"/>
    <col min="4" max="4" width="7.375" customWidth="1"/>
    <col min="5" max="5" width="6.75" customWidth="1"/>
    <col min="6" max="6" width="4.75" bestFit="1" customWidth="1"/>
    <col min="7" max="7" width="5.875" bestFit="1" customWidth="1"/>
    <col min="8" max="8" width="5.375" bestFit="1" customWidth="1"/>
    <col min="9" max="9" width="4.875" customWidth="1"/>
    <col min="10" max="10" width="5.125" style="8" customWidth="1"/>
    <col min="11" max="11" width="5.375" bestFit="1" customWidth="1"/>
    <col min="12" max="12" width="29.125" style="1" customWidth="1"/>
  </cols>
  <sheetData>
    <row r="1" spans="1:21" s="1" customFormat="1" ht="47.25" customHeight="1" x14ac:dyDescent="0.25">
      <c r="A1" s="4" t="s">
        <v>0</v>
      </c>
      <c r="B1" s="4" t="s">
        <v>1</v>
      </c>
      <c r="C1" s="4" t="s">
        <v>2</v>
      </c>
      <c r="D1" s="4" t="s">
        <v>3</v>
      </c>
      <c r="E1" s="4" t="s">
        <v>4</v>
      </c>
      <c r="F1" s="4" t="s">
        <v>5</v>
      </c>
      <c r="G1" s="4" t="s">
        <v>134</v>
      </c>
      <c r="H1" s="4" t="s">
        <v>6</v>
      </c>
      <c r="I1" s="4" t="s">
        <v>133</v>
      </c>
      <c r="J1" s="6" t="s">
        <v>7</v>
      </c>
      <c r="K1" s="4" t="s">
        <v>8</v>
      </c>
      <c r="L1" s="4" t="s">
        <v>9</v>
      </c>
      <c r="N1" s="12" t="s">
        <v>135</v>
      </c>
      <c r="O1" s="12"/>
      <c r="P1" s="12"/>
      <c r="Q1" s="12"/>
      <c r="R1" s="12"/>
      <c r="S1" s="12"/>
      <c r="T1" s="12"/>
      <c r="U1" s="12"/>
    </row>
    <row r="2" spans="1:21" x14ac:dyDescent="0.25">
      <c r="A2" s="9" t="s">
        <v>10</v>
      </c>
      <c r="B2" s="10"/>
      <c r="C2" s="10"/>
      <c r="D2" s="10"/>
      <c r="E2" s="10"/>
      <c r="F2" s="10"/>
      <c r="G2" s="10"/>
      <c r="H2" s="10"/>
      <c r="I2" s="10"/>
      <c r="J2" s="10"/>
      <c r="K2" s="10"/>
      <c r="L2" s="11"/>
      <c r="N2" s="12"/>
      <c r="O2" s="12"/>
      <c r="P2" s="12"/>
      <c r="Q2" s="12"/>
      <c r="R2" s="12"/>
      <c r="S2" s="12"/>
      <c r="T2" s="12"/>
      <c r="U2" s="12"/>
    </row>
    <row r="3" spans="1:21" ht="31.5" x14ac:dyDescent="0.25">
      <c r="A3" s="2" t="s">
        <v>11</v>
      </c>
      <c r="B3" s="3" t="s">
        <v>12</v>
      </c>
      <c r="C3" s="2" t="s">
        <v>13</v>
      </c>
      <c r="D3" s="3" t="s">
        <v>14</v>
      </c>
      <c r="E3" s="3">
        <v>0</v>
      </c>
      <c r="F3" s="3" t="s">
        <v>15</v>
      </c>
      <c r="G3" s="3">
        <v>30</v>
      </c>
      <c r="H3" s="3">
        <v>50</v>
      </c>
      <c r="I3" s="3">
        <v>0</v>
      </c>
      <c r="J3" s="7">
        <f>I3/H3</f>
        <v>0</v>
      </c>
      <c r="K3" s="3">
        <f>E3*J3</f>
        <v>0</v>
      </c>
      <c r="L3" s="2" t="s">
        <v>16</v>
      </c>
      <c r="N3" s="12"/>
      <c r="O3" s="12"/>
      <c r="P3" s="12"/>
      <c r="Q3" s="12"/>
      <c r="R3" s="12"/>
      <c r="S3" s="12"/>
      <c r="T3" s="12"/>
      <c r="U3" s="12"/>
    </row>
    <row r="4" spans="1:21" ht="31.5" x14ac:dyDescent="0.25">
      <c r="A4" s="2" t="s">
        <v>17</v>
      </c>
      <c r="B4" s="3" t="s">
        <v>18</v>
      </c>
      <c r="C4" s="2" t="s">
        <v>13</v>
      </c>
      <c r="D4" s="3" t="s">
        <v>14</v>
      </c>
      <c r="E4" s="3">
        <v>0</v>
      </c>
      <c r="F4" s="3" t="s">
        <v>15</v>
      </c>
      <c r="G4" s="3">
        <v>3</v>
      </c>
      <c r="H4" s="3">
        <v>5</v>
      </c>
      <c r="I4" s="3">
        <v>0</v>
      </c>
      <c r="J4" s="7">
        <f t="shared" ref="J4:J60" si="0">I4/H4</f>
        <v>0</v>
      </c>
      <c r="K4" s="3">
        <f t="shared" ref="K4:K60" si="1">E4*J4</f>
        <v>0</v>
      </c>
      <c r="L4" s="2" t="s">
        <v>19</v>
      </c>
      <c r="N4" s="12"/>
      <c r="O4" s="12"/>
      <c r="P4" s="12"/>
      <c r="Q4" s="12"/>
      <c r="R4" s="12"/>
      <c r="S4" s="12"/>
      <c r="T4" s="12"/>
      <c r="U4" s="12"/>
    </row>
    <row r="5" spans="1:21" ht="31.5" x14ac:dyDescent="0.25">
      <c r="A5" s="2" t="s">
        <v>20</v>
      </c>
      <c r="B5" s="3" t="s">
        <v>18</v>
      </c>
      <c r="C5" s="2" t="s">
        <v>13</v>
      </c>
      <c r="D5" s="3" t="s">
        <v>14</v>
      </c>
      <c r="E5" s="3">
        <v>0</v>
      </c>
      <c r="F5" s="3" t="s">
        <v>15</v>
      </c>
      <c r="G5" s="3">
        <v>3</v>
      </c>
      <c r="H5" s="3">
        <v>5</v>
      </c>
      <c r="I5" s="3">
        <v>0</v>
      </c>
      <c r="J5" s="7">
        <f t="shared" si="0"/>
        <v>0</v>
      </c>
      <c r="K5" s="3">
        <f t="shared" si="1"/>
        <v>0</v>
      </c>
      <c r="L5" s="2" t="s">
        <v>21</v>
      </c>
      <c r="N5" s="12"/>
      <c r="O5" s="12"/>
      <c r="P5" s="12"/>
      <c r="Q5" s="12"/>
      <c r="R5" s="12"/>
      <c r="S5" s="12"/>
      <c r="T5" s="12"/>
      <c r="U5" s="12"/>
    </row>
    <row r="6" spans="1:21" ht="31.5" x14ac:dyDescent="0.25">
      <c r="A6" s="2" t="s">
        <v>22</v>
      </c>
      <c r="B6" s="3" t="s">
        <v>12</v>
      </c>
      <c r="C6" s="2" t="s">
        <v>13</v>
      </c>
      <c r="D6" s="3" t="s">
        <v>14</v>
      </c>
      <c r="E6" s="3">
        <v>0</v>
      </c>
      <c r="F6" s="3" t="s">
        <v>15</v>
      </c>
      <c r="G6" s="3">
        <v>30</v>
      </c>
      <c r="H6" s="3">
        <v>50</v>
      </c>
      <c r="I6" s="3">
        <v>0</v>
      </c>
      <c r="J6" s="7">
        <f t="shared" si="0"/>
        <v>0</v>
      </c>
      <c r="K6" s="3">
        <f t="shared" si="1"/>
        <v>0</v>
      </c>
      <c r="L6" s="2" t="s">
        <v>23</v>
      </c>
    </row>
    <row r="7" spans="1:21" ht="31.5" x14ac:dyDescent="0.25">
      <c r="A7" s="2" t="s">
        <v>24</v>
      </c>
      <c r="B7" s="3" t="s">
        <v>25</v>
      </c>
      <c r="C7" s="2" t="s">
        <v>13</v>
      </c>
      <c r="D7" s="3" t="s">
        <v>14</v>
      </c>
      <c r="E7" s="3">
        <v>0</v>
      </c>
      <c r="F7" s="3" t="s">
        <v>15</v>
      </c>
      <c r="G7" s="3">
        <v>1</v>
      </c>
      <c r="H7" s="3">
        <v>2</v>
      </c>
      <c r="I7" s="3">
        <v>0</v>
      </c>
      <c r="J7" s="7">
        <f t="shared" si="0"/>
        <v>0</v>
      </c>
      <c r="K7" s="3">
        <f t="shared" si="1"/>
        <v>0</v>
      </c>
      <c r="L7" s="2" t="s">
        <v>26</v>
      </c>
    </row>
    <row r="8" spans="1:21" ht="31.5" x14ac:dyDescent="0.25">
      <c r="A8" s="2" t="s">
        <v>27</v>
      </c>
      <c r="B8" s="3" t="s">
        <v>28</v>
      </c>
      <c r="C8" s="2" t="s">
        <v>13</v>
      </c>
      <c r="D8" s="3" t="s">
        <v>14</v>
      </c>
      <c r="E8" s="3">
        <v>0</v>
      </c>
      <c r="F8" s="3" t="s">
        <v>15</v>
      </c>
      <c r="G8" s="3">
        <v>3</v>
      </c>
      <c r="H8" s="3">
        <v>5</v>
      </c>
      <c r="I8" s="3">
        <v>0</v>
      </c>
      <c r="J8" s="7">
        <f t="shared" si="0"/>
        <v>0</v>
      </c>
      <c r="K8" s="3">
        <f t="shared" si="1"/>
        <v>0</v>
      </c>
      <c r="L8" s="2" t="s">
        <v>29</v>
      </c>
    </row>
    <row r="9" spans="1:21" ht="31.5" x14ac:dyDescent="0.25">
      <c r="A9" s="2" t="s">
        <v>30</v>
      </c>
      <c r="B9" s="3" t="s">
        <v>31</v>
      </c>
      <c r="C9" s="2" t="s">
        <v>13</v>
      </c>
      <c r="D9" s="3" t="s">
        <v>14</v>
      </c>
      <c r="E9" s="3">
        <v>0</v>
      </c>
      <c r="F9" s="3" t="s">
        <v>15</v>
      </c>
      <c r="G9" s="3">
        <v>100</v>
      </c>
      <c r="H9" s="3">
        <v>100</v>
      </c>
      <c r="I9" s="3">
        <v>0</v>
      </c>
      <c r="J9" s="7">
        <f t="shared" si="0"/>
        <v>0</v>
      </c>
      <c r="K9" s="3">
        <f t="shared" si="1"/>
        <v>0</v>
      </c>
      <c r="L9" s="2" t="s">
        <v>32</v>
      </c>
    </row>
    <row r="10" spans="1:21" ht="47.25" x14ac:dyDescent="0.25">
      <c r="A10" s="2" t="s">
        <v>33</v>
      </c>
      <c r="B10" s="3" t="s">
        <v>34</v>
      </c>
      <c r="C10" s="2" t="s">
        <v>13</v>
      </c>
      <c r="D10" s="3" t="s">
        <v>14</v>
      </c>
      <c r="E10" s="3">
        <v>0</v>
      </c>
      <c r="F10" s="3" t="s">
        <v>15</v>
      </c>
      <c r="G10" s="3">
        <v>100</v>
      </c>
      <c r="H10" s="3">
        <v>200</v>
      </c>
      <c r="I10" s="3">
        <v>0</v>
      </c>
      <c r="J10" s="7">
        <f t="shared" si="0"/>
        <v>0</v>
      </c>
      <c r="K10" s="3">
        <f t="shared" si="1"/>
        <v>0</v>
      </c>
      <c r="L10" s="2" t="s">
        <v>35</v>
      </c>
    </row>
    <row r="11" spans="1:21" x14ac:dyDescent="0.25">
      <c r="A11" s="9" t="s">
        <v>36</v>
      </c>
      <c r="B11" s="10"/>
      <c r="C11" s="10"/>
      <c r="D11" s="10"/>
      <c r="E11" s="10"/>
      <c r="F11" s="10"/>
      <c r="G11" s="10"/>
      <c r="H11" s="10"/>
      <c r="I11" s="10"/>
      <c r="J11" s="10"/>
      <c r="K11" s="10"/>
      <c r="L11" s="11"/>
    </row>
    <row r="12" spans="1:21" ht="47.25" x14ac:dyDescent="0.25">
      <c r="A12" s="2" t="s">
        <v>37</v>
      </c>
      <c r="B12" s="3" t="s">
        <v>31</v>
      </c>
      <c r="C12" s="2" t="s">
        <v>13</v>
      </c>
      <c r="D12" s="3" t="s">
        <v>14</v>
      </c>
      <c r="E12" s="3">
        <v>0</v>
      </c>
      <c r="F12" s="3" t="s">
        <v>15</v>
      </c>
      <c r="G12" s="3">
        <v>100</v>
      </c>
      <c r="H12" s="3">
        <v>100</v>
      </c>
      <c r="I12" s="3">
        <v>0</v>
      </c>
      <c r="J12" s="7">
        <f t="shared" si="0"/>
        <v>0</v>
      </c>
      <c r="K12" s="3">
        <f t="shared" si="1"/>
        <v>0</v>
      </c>
      <c r="L12" s="2" t="s">
        <v>38</v>
      </c>
    </row>
    <row r="13" spans="1:21" ht="63" x14ac:dyDescent="0.25">
      <c r="A13" s="2" t="s">
        <v>39</v>
      </c>
      <c r="B13" s="3" t="s">
        <v>40</v>
      </c>
      <c r="C13" s="2" t="s">
        <v>13</v>
      </c>
      <c r="D13" s="3" t="s">
        <v>14</v>
      </c>
      <c r="E13" s="3">
        <v>0</v>
      </c>
      <c r="F13" s="3" t="s">
        <v>15</v>
      </c>
      <c r="G13" s="3">
        <v>5</v>
      </c>
      <c r="H13" s="3">
        <v>10</v>
      </c>
      <c r="I13" s="3">
        <v>0</v>
      </c>
      <c r="J13" s="7">
        <f t="shared" si="0"/>
        <v>0</v>
      </c>
      <c r="K13" s="3">
        <f t="shared" si="1"/>
        <v>0</v>
      </c>
      <c r="L13" s="2" t="s">
        <v>41</v>
      </c>
    </row>
    <row r="14" spans="1:21" ht="31.5" x14ac:dyDescent="0.25">
      <c r="A14" s="2" t="s">
        <v>42</v>
      </c>
      <c r="B14" s="3" t="s">
        <v>28</v>
      </c>
      <c r="C14" s="2" t="s">
        <v>13</v>
      </c>
      <c r="D14" s="3" t="s">
        <v>14</v>
      </c>
      <c r="E14" s="3">
        <v>0</v>
      </c>
      <c r="F14" s="3" t="s">
        <v>15</v>
      </c>
      <c r="G14" s="3">
        <v>5</v>
      </c>
      <c r="H14" s="3">
        <v>10</v>
      </c>
      <c r="I14" s="3">
        <v>0</v>
      </c>
      <c r="J14" s="7">
        <f t="shared" si="0"/>
        <v>0</v>
      </c>
      <c r="K14" s="3">
        <f t="shared" si="1"/>
        <v>0</v>
      </c>
      <c r="L14" s="2" t="s">
        <v>43</v>
      </c>
    </row>
    <row r="15" spans="1:21" ht="63" x14ac:dyDescent="0.25">
      <c r="A15" s="2" t="s">
        <v>44</v>
      </c>
      <c r="B15" s="3" t="s">
        <v>31</v>
      </c>
      <c r="C15" s="2" t="s">
        <v>13</v>
      </c>
      <c r="D15" s="3" t="s">
        <v>14</v>
      </c>
      <c r="E15" s="3">
        <v>0</v>
      </c>
      <c r="F15" s="3" t="s">
        <v>15</v>
      </c>
      <c r="G15" s="3">
        <v>100</v>
      </c>
      <c r="H15" s="3">
        <v>100</v>
      </c>
      <c r="I15" s="3">
        <v>0</v>
      </c>
      <c r="J15" s="7">
        <f t="shared" si="0"/>
        <v>0</v>
      </c>
      <c r="K15" s="3">
        <f t="shared" si="1"/>
        <v>0</v>
      </c>
      <c r="L15" s="2" t="s">
        <v>45</v>
      </c>
    </row>
    <row r="16" spans="1:21" ht="31.5" x14ac:dyDescent="0.25">
      <c r="A16" s="2" t="s">
        <v>46</v>
      </c>
      <c r="B16" s="3" t="s">
        <v>47</v>
      </c>
      <c r="C16" s="2" t="s">
        <v>13</v>
      </c>
      <c r="D16" s="3" t="s">
        <v>14</v>
      </c>
      <c r="E16" s="3">
        <v>0</v>
      </c>
      <c r="F16" s="3" t="s">
        <v>15</v>
      </c>
      <c r="G16" s="3">
        <v>1</v>
      </c>
      <c r="H16" s="3">
        <v>2</v>
      </c>
      <c r="I16" s="3">
        <v>0</v>
      </c>
      <c r="J16" s="7">
        <f t="shared" si="0"/>
        <v>0</v>
      </c>
      <c r="K16" s="3">
        <f t="shared" si="1"/>
        <v>0</v>
      </c>
      <c r="L16" s="2" t="s">
        <v>48</v>
      </c>
    </row>
    <row r="17" spans="1:12" ht="47.25" x14ac:dyDescent="0.25">
      <c r="A17" s="2" t="s">
        <v>49</v>
      </c>
      <c r="B17" s="3" t="s">
        <v>31</v>
      </c>
      <c r="C17" s="2" t="s">
        <v>13</v>
      </c>
      <c r="D17" s="3" t="s">
        <v>14</v>
      </c>
      <c r="E17" s="3">
        <v>0</v>
      </c>
      <c r="F17" s="3" t="s">
        <v>15</v>
      </c>
      <c r="G17" s="3">
        <v>100</v>
      </c>
      <c r="H17" s="3">
        <v>100</v>
      </c>
      <c r="I17" s="3">
        <v>0</v>
      </c>
      <c r="J17" s="7">
        <f t="shared" si="0"/>
        <v>0</v>
      </c>
      <c r="K17" s="3">
        <f t="shared" si="1"/>
        <v>0</v>
      </c>
      <c r="L17" s="2" t="s">
        <v>50</v>
      </c>
    </row>
    <row r="18" spans="1:12" s="5" customFormat="1" ht="31.5" customHeight="1" x14ac:dyDescent="0.25">
      <c r="A18" s="9" t="s">
        <v>51</v>
      </c>
      <c r="B18" s="10"/>
      <c r="C18" s="10"/>
      <c r="D18" s="10"/>
      <c r="E18" s="10"/>
      <c r="F18" s="10"/>
      <c r="G18" s="10"/>
      <c r="H18" s="10"/>
      <c r="I18" s="10"/>
      <c r="J18" s="10"/>
      <c r="K18" s="10"/>
      <c r="L18" s="11"/>
    </row>
    <row r="19" spans="1:12" ht="31.5" x14ac:dyDescent="0.25">
      <c r="A19" s="2" t="s">
        <v>52</v>
      </c>
      <c r="B19" s="3" t="s">
        <v>31</v>
      </c>
      <c r="C19" s="2" t="s">
        <v>13</v>
      </c>
      <c r="D19" s="3" t="s">
        <v>14</v>
      </c>
      <c r="E19" s="3">
        <v>0</v>
      </c>
      <c r="F19" s="3" t="s">
        <v>15</v>
      </c>
      <c r="G19" s="3">
        <v>100</v>
      </c>
      <c r="H19" s="3">
        <v>100</v>
      </c>
      <c r="I19" s="3">
        <v>0</v>
      </c>
      <c r="J19" s="7">
        <f t="shared" si="0"/>
        <v>0</v>
      </c>
      <c r="K19" s="3">
        <f t="shared" si="1"/>
        <v>0</v>
      </c>
      <c r="L19" s="2" t="s">
        <v>53</v>
      </c>
    </row>
    <row r="20" spans="1:12" ht="31.5" x14ac:dyDescent="0.25">
      <c r="A20" s="2" t="s">
        <v>54</v>
      </c>
      <c r="B20" s="3" t="s">
        <v>31</v>
      </c>
      <c r="C20" s="2" t="s">
        <v>13</v>
      </c>
      <c r="D20" s="3" t="s">
        <v>14</v>
      </c>
      <c r="E20" s="3">
        <v>0</v>
      </c>
      <c r="F20" s="3" t="s">
        <v>15</v>
      </c>
      <c r="G20" s="3">
        <v>100</v>
      </c>
      <c r="H20" s="3">
        <v>100</v>
      </c>
      <c r="I20" s="3">
        <v>0</v>
      </c>
      <c r="J20" s="7">
        <f t="shared" si="0"/>
        <v>0</v>
      </c>
      <c r="K20" s="3">
        <f t="shared" si="1"/>
        <v>0</v>
      </c>
      <c r="L20" s="2" t="s">
        <v>55</v>
      </c>
    </row>
    <row r="21" spans="1:12" ht="47.25" x14ac:dyDescent="0.25">
      <c r="A21" s="2" t="s">
        <v>56</v>
      </c>
      <c r="B21" s="3" t="s">
        <v>31</v>
      </c>
      <c r="C21" s="2" t="s">
        <v>13</v>
      </c>
      <c r="D21" s="3" t="s">
        <v>14</v>
      </c>
      <c r="E21" s="3">
        <v>0</v>
      </c>
      <c r="F21" s="3" t="s">
        <v>15</v>
      </c>
      <c r="G21" s="3">
        <v>100</v>
      </c>
      <c r="H21" s="3">
        <v>100</v>
      </c>
      <c r="I21" s="3">
        <v>0</v>
      </c>
      <c r="J21" s="7">
        <f t="shared" si="0"/>
        <v>0</v>
      </c>
      <c r="K21" s="3">
        <f t="shared" si="1"/>
        <v>0</v>
      </c>
      <c r="L21" s="2" t="s">
        <v>57</v>
      </c>
    </row>
    <row r="22" spans="1:12" ht="47.25" x14ac:dyDescent="0.25">
      <c r="A22" s="2" t="s">
        <v>58</v>
      </c>
      <c r="B22" s="3" t="s">
        <v>59</v>
      </c>
      <c r="C22" s="2" t="s">
        <v>60</v>
      </c>
      <c r="D22" s="3" t="s">
        <v>14</v>
      </c>
      <c r="E22" s="3">
        <v>0</v>
      </c>
      <c r="F22" s="3" t="s">
        <v>15</v>
      </c>
      <c r="G22" s="3">
        <v>1</v>
      </c>
      <c r="H22" s="3">
        <v>2</v>
      </c>
      <c r="I22" s="3">
        <v>0</v>
      </c>
      <c r="J22" s="7">
        <f t="shared" si="0"/>
        <v>0</v>
      </c>
      <c r="K22" s="3">
        <f t="shared" si="1"/>
        <v>0</v>
      </c>
      <c r="L22" s="2" t="s">
        <v>61</v>
      </c>
    </row>
    <row r="23" spans="1:12" ht="31.5" x14ac:dyDescent="0.25">
      <c r="A23" s="2" t="s">
        <v>62</v>
      </c>
      <c r="B23" s="3" t="s">
        <v>31</v>
      </c>
      <c r="C23" s="2" t="s">
        <v>60</v>
      </c>
      <c r="D23" s="3" t="s">
        <v>14</v>
      </c>
      <c r="E23" s="3">
        <v>0</v>
      </c>
      <c r="F23" s="3" t="s">
        <v>15</v>
      </c>
      <c r="G23" s="3">
        <v>100</v>
      </c>
      <c r="H23" s="3">
        <v>100</v>
      </c>
      <c r="I23" s="3">
        <v>0</v>
      </c>
      <c r="J23" s="7">
        <f t="shared" si="0"/>
        <v>0</v>
      </c>
      <c r="K23" s="3">
        <f t="shared" si="1"/>
        <v>0</v>
      </c>
      <c r="L23" s="2" t="s">
        <v>63</v>
      </c>
    </row>
    <row r="24" spans="1:12" x14ac:dyDescent="0.25">
      <c r="A24" s="9" t="s">
        <v>64</v>
      </c>
      <c r="B24" s="10"/>
      <c r="C24" s="10"/>
      <c r="D24" s="10"/>
      <c r="E24" s="10"/>
      <c r="F24" s="10"/>
      <c r="G24" s="10"/>
      <c r="H24" s="10"/>
      <c r="I24" s="10"/>
      <c r="J24" s="10"/>
      <c r="K24" s="10"/>
      <c r="L24" s="11"/>
    </row>
    <row r="25" spans="1:12" ht="47.25" x14ac:dyDescent="0.25">
      <c r="A25" s="2" t="s">
        <v>65</v>
      </c>
      <c r="B25" s="3" t="s">
        <v>31</v>
      </c>
      <c r="C25" s="2" t="s">
        <v>60</v>
      </c>
      <c r="D25" s="3" t="s">
        <v>14</v>
      </c>
      <c r="E25" s="3">
        <v>0</v>
      </c>
      <c r="F25" s="3" t="s">
        <v>15</v>
      </c>
      <c r="G25" s="3">
        <v>100</v>
      </c>
      <c r="H25" s="3">
        <v>100</v>
      </c>
      <c r="I25" s="3">
        <v>0</v>
      </c>
      <c r="J25" s="7">
        <f t="shared" si="0"/>
        <v>0</v>
      </c>
      <c r="K25" s="3">
        <f t="shared" si="1"/>
        <v>0</v>
      </c>
      <c r="L25" s="2" t="s">
        <v>66</v>
      </c>
    </row>
    <row r="26" spans="1:12" ht="31.5" x14ac:dyDescent="0.25">
      <c r="A26" s="2" t="s">
        <v>67</v>
      </c>
      <c r="B26" s="3" t="s">
        <v>28</v>
      </c>
      <c r="C26" s="2" t="s">
        <v>60</v>
      </c>
      <c r="D26" s="3" t="s">
        <v>14</v>
      </c>
      <c r="E26" s="3">
        <v>0</v>
      </c>
      <c r="F26" s="3" t="s">
        <v>15</v>
      </c>
      <c r="G26" s="3">
        <v>8</v>
      </c>
      <c r="H26" s="3">
        <v>12</v>
      </c>
      <c r="I26" s="3">
        <v>0</v>
      </c>
      <c r="J26" s="7">
        <f t="shared" si="0"/>
        <v>0</v>
      </c>
      <c r="K26" s="3">
        <f t="shared" si="1"/>
        <v>0</v>
      </c>
      <c r="L26" s="2" t="s">
        <v>68</v>
      </c>
    </row>
    <row r="27" spans="1:12" ht="78.75" x14ac:dyDescent="0.25">
      <c r="A27" s="2" t="s">
        <v>69</v>
      </c>
      <c r="B27" s="3" t="s">
        <v>70</v>
      </c>
      <c r="C27" s="2" t="s">
        <v>60</v>
      </c>
      <c r="D27" s="3" t="s">
        <v>14</v>
      </c>
      <c r="E27" s="3">
        <v>0</v>
      </c>
      <c r="F27" s="3" t="s">
        <v>15</v>
      </c>
      <c r="G27" s="3">
        <v>1</v>
      </c>
      <c r="H27" s="3">
        <v>2</v>
      </c>
      <c r="I27" s="3">
        <v>0</v>
      </c>
      <c r="J27" s="7">
        <f t="shared" si="0"/>
        <v>0</v>
      </c>
      <c r="K27" s="3">
        <f t="shared" si="1"/>
        <v>0</v>
      </c>
      <c r="L27" s="2" t="s">
        <v>71</v>
      </c>
    </row>
    <row r="28" spans="1:12" ht="47.25" x14ac:dyDescent="0.25">
      <c r="A28" s="2" t="s">
        <v>72</v>
      </c>
      <c r="B28" s="3" t="s">
        <v>59</v>
      </c>
      <c r="C28" s="2" t="s">
        <v>60</v>
      </c>
      <c r="D28" s="3" t="s">
        <v>14</v>
      </c>
      <c r="E28" s="3">
        <v>0</v>
      </c>
      <c r="F28" s="3" t="s">
        <v>15</v>
      </c>
      <c r="G28" s="3">
        <v>1</v>
      </c>
      <c r="H28" s="3">
        <v>4</v>
      </c>
      <c r="I28" s="3">
        <v>0</v>
      </c>
      <c r="J28" s="7">
        <f t="shared" si="0"/>
        <v>0</v>
      </c>
      <c r="K28" s="3">
        <f t="shared" si="1"/>
        <v>0</v>
      </c>
      <c r="L28" s="2" t="s">
        <v>73</v>
      </c>
    </row>
    <row r="29" spans="1:12" x14ac:dyDescent="0.25">
      <c r="A29" s="9" t="s">
        <v>74</v>
      </c>
      <c r="B29" s="10"/>
      <c r="C29" s="10"/>
      <c r="D29" s="10"/>
      <c r="E29" s="10"/>
      <c r="F29" s="10"/>
      <c r="G29" s="10"/>
      <c r="H29" s="10"/>
      <c r="I29" s="10"/>
      <c r="J29" s="10"/>
      <c r="K29" s="10"/>
      <c r="L29" s="11"/>
    </row>
    <row r="30" spans="1:12" ht="63" x14ac:dyDescent="0.25">
      <c r="A30" s="2" t="s">
        <v>75</v>
      </c>
      <c r="B30" s="3" t="s">
        <v>76</v>
      </c>
      <c r="C30" s="2" t="s">
        <v>60</v>
      </c>
      <c r="D30" s="3" t="s">
        <v>14</v>
      </c>
      <c r="E30" s="3">
        <v>0</v>
      </c>
      <c r="F30" s="3" t="s">
        <v>15</v>
      </c>
      <c r="G30" s="3">
        <v>2</v>
      </c>
      <c r="H30" s="3">
        <v>4</v>
      </c>
      <c r="I30" s="3">
        <v>0</v>
      </c>
      <c r="J30" s="7">
        <f t="shared" si="0"/>
        <v>0</v>
      </c>
      <c r="K30" s="3">
        <f t="shared" si="1"/>
        <v>0</v>
      </c>
      <c r="L30" s="2" t="s">
        <v>77</v>
      </c>
    </row>
    <row r="31" spans="1:12" ht="47.25" x14ac:dyDescent="0.25">
      <c r="A31" s="2" t="s">
        <v>78</v>
      </c>
      <c r="B31" s="3" t="s">
        <v>34</v>
      </c>
      <c r="C31" s="2" t="s">
        <v>60</v>
      </c>
      <c r="D31" s="3" t="s">
        <v>14</v>
      </c>
      <c r="E31" s="3">
        <v>0</v>
      </c>
      <c r="F31" s="3" t="s">
        <v>15</v>
      </c>
      <c r="G31" s="3">
        <v>50</v>
      </c>
      <c r="H31" s="3">
        <v>100</v>
      </c>
      <c r="I31" s="3">
        <v>0</v>
      </c>
      <c r="J31" s="7">
        <f t="shared" si="0"/>
        <v>0</v>
      </c>
      <c r="K31" s="3">
        <f t="shared" si="1"/>
        <v>0</v>
      </c>
      <c r="L31" s="2" t="s">
        <v>79</v>
      </c>
    </row>
    <row r="32" spans="1:12" ht="47.25" x14ac:dyDescent="0.25">
      <c r="A32" s="2" t="s">
        <v>80</v>
      </c>
      <c r="B32" s="3" t="s">
        <v>31</v>
      </c>
      <c r="C32" s="2" t="s">
        <v>60</v>
      </c>
      <c r="D32" s="3" t="s">
        <v>14</v>
      </c>
      <c r="E32" s="3">
        <v>0</v>
      </c>
      <c r="F32" s="3" t="s">
        <v>15</v>
      </c>
      <c r="G32" s="3">
        <v>80</v>
      </c>
      <c r="H32" s="3">
        <v>95</v>
      </c>
      <c r="I32" s="3">
        <v>0</v>
      </c>
      <c r="J32" s="7">
        <f t="shared" si="0"/>
        <v>0</v>
      </c>
      <c r="K32" s="3">
        <f t="shared" si="1"/>
        <v>0</v>
      </c>
      <c r="L32" s="2" t="s">
        <v>81</v>
      </c>
    </row>
    <row r="33" spans="1:12" ht="47.25" x14ac:dyDescent="0.25">
      <c r="A33" s="2" t="s">
        <v>82</v>
      </c>
      <c r="B33" s="3" t="s">
        <v>47</v>
      </c>
      <c r="C33" s="2" t="s">
        <v>60</v>
      </c>
      <c r="D33" s="3" t="s">
        <v>14</v>
      </c>
      <c r="E33" s="3">
        <v>0</v>
      </c>
      <c r="F33" s="3" t="s">
        <v>15</v>
      </c>
      <c r="G33" s="3">
        <v>100</v>
      </c>
      <c r="H33" s="3">
        <v>100</v>
      </c>
      <c r="I33" s="3">
        <v>0</v>
      </c>
      <c r="J33" s="7">
        <f t="shared" si="0"/>
        <v>0</v>
      </c>
      <c r="K33" s="3">
        <f t="shared" si="1"/>
        <v>0</v>
      </c>
      <c r="L33" s="2" t="s">
        <v>83</v>
      </c>
    </row>
    <row r="34" spans="1:12" x14ac:dyDescent="0.25">
      <c r="A34" s="9" t="s">
        <v>84</v>
      </c>
      <c r="B34" s="10"/>
      <c r="C34" s="10"/>
      <c r="D34" s="10"/>
      <c r="E34" s="10"/>
      <c r="F34" s="10"/>
      <c r="G34" s="10"/>
      <c r="H34" s="10"/>
      <c r="I34" s="10"/>
      <c r="J34" s="10"/>
      <c r="K34" s="10"/>
      <c r="L34" s="11"/>
    </row>
    <row r="35" spans="1:12" ht="47.25" x14ac:dyDescent="0.25">
      <c r="A35" s="2" t="s">
        <v>85</v>
      </c>
      <c r="B35" s="3" t="s">
        <v>86</v>
      </c>
      <c r="C35" s="2" t="s">
        <v>87</v>
      </c>
      <c r="D35" s="3" t="s">
        <v>14</v>
      </c>
      <c r="E35" s="3">
        <v>0</v>
      </c>
      <c r="F35" s="3" t="s">
        <v>15</v>
      </c>
      <c r="G35" s="3">
        <v>100</v>
      </c>
      <c r="H35" s="3">
        <v>100</v>
      </c>
      <c r="I35" s="3">
        <v>0</v>
      </c>
      <c r="J35" s="7">
        <f t="shared" si="0"/>
        <v>0</v>
      </c>
      <c r="K35" s="3">
        <f t="shared" si="1"/>
        <v>0</v>
      </c>
      <c r="L35" s="2" t="s">
        <v>88</v>
      </c>
    </row>
    <row r="36" spans="1:12" ht="31.5" x14ac:dyDescent="0.25">
      <c r="A36" s="2" t="s">
        <v>89</v>
      </c>
      <c r="B36" s="3" t="s">
        <v>31</v>
      </c>
      <c r="C36" s="2" t="s">
        <v>60</v>
      </c>
      <c r="D36" s="3" t="s">
        <v>14</v>
      </c>
      <c r="E36" s="3">
        <v>0</v>
      </c>
      <c r="F36" s="3" t="s">
        <v>15</v>
      </c>
      <c r="G36" s="3">
        <v>100</v>
      </c>
      <c r="H36" s="3">
        <v>100</v>
      </c>
      <c r="I36" s="3">
        <v>0</v>
      </c>
      <c r="J36" s="7">
        <f t="shared" si="0"/>
        <v>0</v>
      </c>
      <c r="K36" s="3">
        <f t="shared" si="1"/>
        <v>0</v>
      </c>
      <c r="L36" s="2" t="s">
        <v>90</v>
      </c>
    </row>
    <row r="37" spans="1:12" ht="63" x14ac:dyDescent="0.25">
      <c r="A37" s="2" t="s">
        <v>91</v>
      </c>
      <c r="B37" s="3" t="s">
        <v>31</v>
      </c>
      <c r="C37" s="2" t="s">
        <v>60</v>
      </c>
      <c r="D37" s="3" t="s">
        <v>14</v>
      </c>
      <c r="E37" s="3">
        <v>0</v>
      </c>
      <c r="F37" s="3" t="s">
        <v>15</v>
      </c>
      <c r="G37" s="3">
        <v>100</v>
      </c>
      <c r="H37" s="3">
        <v>100</v>
      </c>
      <c r="I37" s="3">
        <v>0</v>
      </c>
      <c r="J37" s="7">
        <f t="shared" si="0"/>
        <v>0</v>
      </c>
      <c r="K37" s="3">
        <f t="shared" si="1"/>
        <v>0</v>
      </c>
      <c r="L37" s="2" t="s">
        <v>92</v>
      </c>
    </row>
    <row r="38" spans="1:12" ht="63" x14ac:dyDescent="0.25">
      <c r="A38" s="2" t="s">
        <v>93</v>
      </c>
      <c r="B38" s="3" t="s">
        <v>94</v>
      </c>
      <c r="C38" s="2" t="s">
        <v>95</v>
      </c>
      <c r="D38" s="3" t="s">
        <v>14</v>
      </c>
      <c r="E38" s="3">
        <v>0</v>
      </c>
      <c r="F38" s="3" t="s">
        <v>15</v>
      </c>
      <c r="G38" s="3">
        <v>1</v>
      </c>
      <c r="H38" s="3">
        <v>5</v>
      </c>
      <c r="I38" s="3">
        <v>0</v>
      </c>
      <c r="J38" s="7">
        <f t="shared" si="0"/>
        <v>0</v>
      </c>
      <c r="K38" s="3">
        <f t="shared" si="1"/>
        <v>0</v>
      </c>
      <c r="L38" s="2" t="s">
        <v>96</v>
      </c>
    </row>
    <row r="39" spans="1:12" ht="110.25" x14ac:dyDescent="0.25">
      <c r="A39" s="2" t="s">
        <v>97</v>
      </c>
      <c r="B39" s="3" t="s">
        <v>59</v>
      </c>
      <c r="C39" s="2" t="s">
        <v>60</v>
      </c>
      <c r="D39" s="3" t="s">
        <v>14</v>
      </c>
      <c r="E39" s="3">
        <v>0</v>
      </c>
      <c r="F39" s="3" t="s">
        <v>15</v>
      </c>
      <c r="G39" s="3">
        <v>1</v>
      </c>
      <c r="H39" s="3">
        <v>4</v>
      </c>
      <c r="I39" s="3">
        <v>0</v>
      </c>
      <c r="J39" s="7">
        <f t="shared" si="0"/>
        <v>0</v>
      </c>
      <c r="K39" s="3">
        <f t="shared" si="1"/>
        <v>0</v>
      </c>
      <c r="L39" s="2" t="s">
        <v>98</v>
      </c>
    </row>
    <row r="40" spans="1:12" ht="47.25" x14ac:dyDescent="0.25">
      <c r="A40" s="2" t="s">
        <v>99</v>
      </c>
      <c r="B40" s="3" t="s">
        <v>31</v>
      </c>
      <c r="C40" s="2" t="s">
        <v>60</v>
      </c>
      <c r="D40" s="3" t="s">
        <v>14</v>
      </c>
      <c r="E40" s="3">
        <v>0</v>
      </c>
      <c r="F40" s="3" t="s">
        <v>15</v>
      </c>
      <c r="G40" s="3">
        <v>100</v>
      </c>
      <c r="H40" s="3">
        <v>100</v>
      </c>
      <c r="I40" s="3">
        <v>0</v>
      </c>
      <c r="J40" s="7">
        <f t="shared" si="0"/>
        <v>0</v>
      </c>
      <c r="K40" s="3">
        <f t="shared" si="1"/>
        <v>0</v>
      </c>
      <c r="L40" s="2" t="s">
        <v>100</v>
      </c>
    </row>
    <row r="41" spans="1:12" ht="78.75" x14ac:dyDescent="0.25">
      <c r="A41" s="2" t="s">
        <v>101</v>
      </c>
      <c r="B41" s="3" t="s">
        <v>31</v>
      </c>
      <c r="C41" s="2" t="s">
        <v>95</v>
      </c>
      <c r="D41" s="3" t="s">
        <v>14</v>
      </c>
      <c r="E41" s="3">
        <v>0</v>
      </c>
      <c r="F41" s="3" t="s">
        <v>15</v>
      </c>
      <c r="G41" s="3">
        <v>100</v>
      </c>
      <c r="H41" s="3">
        <v>100</v>
      </c>
      <c r="I41" s="3">
        <v>0</v>
      </c>
      <c r="J41" s="7">
        <f t="shared" si="0"/>
        <v>0</v>
      </c>
      <c r="K41" s="3">
        <f t="shared" si="1"/>
        <v>0</v>
      </c>
      <c r="L41" s="2" t="s">
        <v>102</v>
      </c>
    </row>
    <row r="42" spans="1:12" x14ac:dyDescent="0.25">
      <c r="A42" s="9" t="s">
        <v>103</v>
      </c>
      <c r="B42" s="10"/>
      <c r="C42" s="10"/>
      <c r="D42" s="10"/>
      <c r="E42" s="10"/>
      <c r="F42" s="10"/>
      <c r="G42" s="10"/>
      <c r="H42" s="10"/>
      <c r="I42" s="10"/>
      <c r="J42" s="10"/>
      <c r="K42" s="10"/>
      <c r="L42" s="11"/>
    </row>
    <row r="43" spans="1:12" ht="47.25" x14ac:dyDescent="0.25">
      <c r="A43" s="2" t="s">
        <v>104</v>
      </c>
      <c r="B43" s="3" t="s">
        <v>31</v>
      </c>
      <c r="C43" s="2" t="s">
        <v>13</v>
      </c>
      <c r="D43" s="3" t="s">
        <v>14</v>
      </c>
      <c r="E43" s="3">
        <v>0</v>
      </c>
      <c r="F43" s="3" t="s">
        <v>15</v>
      </c>
      <c r="G43" s="3">
        <v>100</v>
      </c>
      <c r="H43" s="3">
        <v>100</v>
      </c>
      <c r="I43" s="3">
        <v>0</v>
      </c>
      <c r="J43" s="7">
        <f t="shared" si="0"/>
        <v>0</v>
      </c>
      <c r="K43" s="3">
        <f t="shared" si="1"/>
        <v>0</v>
      </c>
      <c r="L43" s="2" t="s">
        <v>100</v>
      </c>
    </row>
    <row r="44" spans="1:12" ht="47.25" x14ac:dyDescent="0.25">
      <c r="A44" s="2" t="s">
        <v>105</v>
      </c>
      <c r="B44" s="3" t="s">
        <v>28</v>
      </c>
      <c r="C44" s="2" t="s">
        <v>13</v>
      </c>
      <c r="D44" s="3" t="s">
        <v>14</v>
      </c>
      <c r="E44" s="3">
        <v>0</v>
      </c>
      <c r="F44" s="3" t="s">
        <v>15</v>
      </c>
      <c r="G44" s="3">
        <v>30</v>
      </c>
      <c r="H44" s="3">
        <v>50</v>
      </c>
      <c r="I44" s="3">
        <v>0</v>
      </c>
      <c r="J44" s="7">
        <f t="shared" si="0"/>
        <v>0</v>
      </c>
      <c r="K44" s="3">
        <f t="shared" si="1"/>
        <v>0</v>
      </c>
      <c r="L44" s="2" t="s">
        <v>106</v>
      </c>
    </row>
    <row r="45" spans="1:12" ht="78.75" x14ac:dyDescent="0.25">
      <c r="A45" s="2" t="s">
        <v>107</v>
      </c>
      <c r="B45" s="3" t="s">
        <v>31</v>
      </c>
      <c r="C45" s="2" t="s">
        <v>60</v>
      </c>
      <c r="D45" s="3" t="s">
        <v>14</v>
      </c>
      <c r="E45" s="3">
        <v>0</v>
      </c>
      <c r="F45" s="3" t="s">
        <v>15</v>
      </c>
      <c r="G45" s="3">
        <v>95</v>
      </c>
      <c r="H45" s="3">
        <v>100</v>
      </c>
      <c r="I45" s="3">
        <v>0</v>
      </c>
      <c r="J45" s="7">
        <f t="shared" si="0"/>
        <v>0</v>
      </c>
      <c r="K45" s="3">
        <f t="shared" si="1"/>
        <v>0</v>
      </c>
      <c r="L45" s="2" t="s">
        <v>108</v>
      </c>
    </row>
    <row r="46" spans="1:12" x14ac:dyDescent="0.25">
      <c r="A46" s="9" t="s">
        <v>109</v>
      </c>
      <c r="B46" s="10"/>
      <c r="C46" s="10"/>
      <c r="D46" s="10"/>
      <c r="E46" s="10"/>
      <c r="F46" s="10"/>
      <c r="G46" s="10"/>
      <c r="H46" s="10"/>
      <c r="I46" s="10"/>
      <c r="J46" s="10"/>
      <c r="K46" s="10"/>
      <c r="L46" s="11"/>
    </row>
    <row r="47" spans="1:12" ht="78.75" x14ac:dyDescent="0.25">
      <c r="A47" s="2" t="s">
        <v>110</v>
      </c>
      <c r="B47" s="3" t="s">
        <v>31</v>
      </c>
      <c r="C47" s="2" t="s">
        <v>60</v>
      </c>
      <c r="D47" s="3" t="s">
        <v>14</v>
      </c>
      <c r="E47" s="3">
        <v>0</v>
      </c>
      <c r="F47" s="3" t="s">
        <v>15</v>
      </c>
      <c r="G47" s="3">
        <v>100</v>
      </c>
      <c r="H47" s="3">
        <v>100</v>
      </c>
      <c r="I47" s="3">
        <v>0</v>
      </c>
      <c r="J47" s="7">
        <f t="shared" si="0"/>
        <v>0</v>
      </c>
      <c r="K47" s="3">
        <f t="shared" si="1"/>
        <v>0</v>
      </c>
      <c r="L47" s="2" t="s">
        <v>111</v>
      </c>
    </row>
    <row r="48" spans="1:12" ht="47.25" x14ac:dyDescent="0.25">
      <c r="A48" s="2" t="s">
        <v>112</v>
      </c>
      <c r="B48" s="3" t="s">
        <v>31</v>
      </c>
      <c r="C48" s="2" t="s">
        <v>60</v>
      </c>
      <c r="D48" s="3" t="s">
        <v>14</v>
      </c>
      <c r="E48" s="3">
        <v>0</v>
      </c>
      <c r="F48" s="3" t="s">
        <v>15</v>
      </c>
      <c r="G48" s="3">
        <v>100</v>
      </c>
      <c r="H48" s="3">
        <v>100</v>
      </c>
      <c r="I48" s="3">
        <v>0</v>
      </c>
      <c r="J48" s="7">
        <f t="shared" si="0"/>
        <v>0</v>
      </c>
      <c r="K48" s="3">
        <f t="shared" si="1"/>
        <v>0</v>
      </c>
      <c r="L48" s="2" t="s">
        <v>113</v>
      </c>
    </row>
    <row r="49" spans="1:12" ht="78.75" x14ac:dyDescent="0.25">
      <c r="A49" s="2" t="s">
        <v>114</v>
      </c>
      <c r="B49" s="3" t="s">
        <v>59</v>
      </c>
      <c r="C49" s="2" t="s">
        <v>60</v>
      </c>
      <c r="D49" s="3" t="s">
        <v>14</v>
      </c>
      <c r="E49" s="3">
        <v>0</v>
      </c>
      <c r="F49" s="3" t="s">
        <v>15</v>
      </c>
      <c r="G49" s="3">
        <v>1</v>
      </c>
      <c r="H49" s="3">
        <v>1</v>
      </c>
      <c r="I49" s="3">
        <v>0</v>
      </c>
      <c r="J49" s="7">
        <f t="shared" si="0"/>
        <v>0</v>
      </c>
      <c r="K49" s="3">
        <f t="shared" si="1"/>
        <v>0</v>
      </c>
      <c r="L49" s="2" t="s">
        <v>115</v>
      </c>
    </row>
    <row r="50" spans="1:12" ht="47.25" x14ac:dyDescent="0.25">
      <c r="A50" s="2" t="s">
        <v>116</v>
      </c>
      <c r="B50" s="3" t="s">
        <v>31</v>
      </c>
      <c r="C50" s="2" t="s">
        <v>13</v>
      </c>
      <c r="D50" s="3" t="s">
        <v>14</v>
      </c>
      <c r="E50" s="3">
        <v>0</v>
      </c>
      <c r="F50" s="3" t="s">
        <v>15</v>
      </c>
      <c r="G50" s="3">
        <v>100</v>
      </c>
      <c r="H50" s="3">
        <v>100</v>
      </c>
      <c r="I50" s="3">
        <v>0</v>
      </c>
      <c r="J50" s="7">
        <f t="shared" si="0"/>
        <v>0</v>
      </c>
      <c r="K50" s="3">
        <f t="shared" si="1"/>
        <v>0</v>
      </c>
      <c r="L50" s="2" t="s">
        <v>117</v>
      </c>
    </row>
    <row r="51" spans="1:12" ht="31.5" x14ac:dyDescent="0.25">
      <c r="A51" s="2" t="s">
        <v>118</v>
      </c>
      <c r="B51" s="3" t="s">
        <v>59</v>
      </c>
      <c r="C51" s="2" t="s">
        <v>95</v>
      </c>
      <c r="D51" s="3" t="s">
        <v>14</v>
      </c>
      <c r="E51" s="3">
        <v>0</v>
      </c>
      <c r="F51" s="3" t="s">
        <v>15</v>
      </c>
      <c r="G51" s="3">
        <v>1</v>
      </c>
      <c r="H51" s="3">
        <v>2</v>
      </c>
      <c r="I51" s="3">
        <v>0</v>
      </c>
      <c r="J51" s="7">
        <f t="shared" si="0"/>
        <v>0</v>
      </c>
      <c r="K51" s="3">
        <f t="shared" si="1"/>
        <v>0</v>
      </c>
      <c r="L51" s="2" t="s">
        <v>119</v>
      </c>
    </row>
    <row r="52" spans="1:12" ht="31.5" x14ac:dyDescent="0.25">
      <c r="A52" s="2" t="s">
        <v>120</v>
      </c>
      <c r="B52" s="3" t="s">
        <v>31</v>
      </c>
      <c r="C52" s="2" t="s">
        <v>60</v>
      </c>
      <c r="D52" s="3" t="s">
        <v>14</v>
      </c>
      <c r="E52" s="3">
        <v>0</v>
      </c>
      <c r="F52" s="3" t="s">
        <v>15</v>
      </c>
      <c r="G52" s="3">
        <v>100</v>
      </c>
      <c r="H52" s="3">
        <v>100</v>
      </c>
      <c r="I52" s="3">
        <v>0</v>
      </c>
      <c r="J52" s="7">
        <f t="shared" si="0"/>
        <v>0</v>
      </c>
      <c r="K52" s="3">
        <f t="shared" si="1"/>
        <v>0</v>
      </c>
      <c r="L52" s="2" t="s">
        <v>121</v>
      </c>
    </row>
    <row r="53" spans="1:12" x14ac:dyDescent="0.25">
      <c r="A53" s="9" t="s">
        <v>122</v>
      </c>
      <c r="B53" s="10"/>
      <c r="C53" s="10"/>
      <c r="D53" s="10"/>
      <c r="E53" s="10"/>
      <c r="F53" s="10"/>
      <c r="G53" s="10"/>
      <c r="H53" s="10"/>
      <c r="I53" s="10"/>
      <c r="J53" s="10"/>
      <c r="K53" s="10"/>
      <c r="L53" s="11"/>
    </row>
    <row r="54" spans="1:12" ht="78.75" x14ac:dyDescent="0.25">
      <c r="A54" s="2" t="s">
        <v>123</v>
      </c>
      <c r="B54" s="3" t="s">
        <v>31</v>
      </c>
      <c r="C54" s="2" t="s">
        <v>60</v>
      </c>
      <c r="D54" s="3" t="s">
        <v>14</v>
      </c>
      <c r="E54" s="3">
        <v>0</v>
      </c>
      <c r="F54" s="3" t="s">
        <v>15</v>
      </c>
      <c r="G54" s="3">
        <v>100</v>
      </c>
      <c r="H54" s="3">
        <v>100</v>
      </c>
      <c r="I54" s="3">
        <v>0</v>
      </c>
      <c r="J54" s="7">
        <f t="shared" si="0"/>
        <v>0</v>
      </c>
      <c r="K54" s="3">
        <f t="shared" si="1"/>
        <v>0</v>
      </c>
      <c r="L54" s="2" t="s">
        <v>124</v>
      </c>
    </row>
    <row r="55" spans="1:12" ht="78.75" x14ac:dyDescent="0.25">
      <c r="A55" s="2" t="s">
        <v>125</v>
      </c>
      <c r="B55" s="3" t="s">
        <v>31</v>
      </c>
      <c r="C55" s="2" t="s">
        <v>60</v>
      </c>
      <c r="D55" s="3" t="s">
        <v>14</v>
      </c>
      <c r="E55" s="3">
        <v>0</v>
      </c>
      <c r="F55" s="3" t="s">
        <v>15</v>
      </c>
      <c r="G55" s="3">
        <v>100</v>
      </c>
      <c r="H55" s="3">
        <v>100</v>
      </c>
      <c r="I55" s="3">
        <v>0</v>
      </c>
      <c r="J55" s="7">
        <f t="shared" si="0"/>
        <v>0</v>
      </c>
      <c r="K55" s="3">
        <f t="shared" si="1"/>
        <v>0</v>
      </c>
      <c r="L55" s="2" t="s">
        <v>126</v>
      </c>
    </row>
    <row r="56" spans="1:12" ht="31.5" x14ac:dyDescent="0.25">
      <c r="A56" s="2" t="s">
        <v>127</v>
      </c>
      <c r="B56" s="3" t="s">
        <v>31</v>
      </c>
      <c r="C56" s="2" t="s">
        <v>95</v>
      </c>
      <c r="D56" s="3" t="s">
        <v>14</v>
      </c>
      <c r="E56" s="3">
        <v>0</v>
      </c>
      <c r="F56" s="3" t="s">
        <v>15</v>
      </c>
      <c r="G56" s="3">
        <v>100</v>
      </c>
      <c r="H56" s="3">
        <v>100</v>
      </c>
      <c r="I56" s="3">
        <v>0</v>
      </c>
      <c r="J56" s="7">
        <f t="shared" si="0"/>
        <v>0</v>
      </c>
      <c r="K56" s="3">
        <f t="shared" si="1"/>
        <v>0</v>
      </c>
      <c r="L56" s="2" t="s">
        <v>128</v>
      </c>
    </row>
    <row r="57" spans="1:12" x14ac:dyDescent="0.25">
      <c r="A57" s="9" t="s">
        <v>136</v>
      </c>
      <c r="B57" s="10"/>
      <c r="C57" s="10"/>
      <c r="D57" s="10"/>
      <c r="E57" s="10"/>
      <c r="F57" s="10"/>
      <c r="G57" s="10"/>
      <c r="H57" s="10"/>
      <c r="I57" s="10"/>
      <c r="J57" s="10"/>
      <c r="K57" s="10"/>
      <c r="L57" s="11"/>
    </row>
    <row r="58" spans="1:12" ht="47.25" x14ac:dyDescent="0.25">
      <c r="A58" s="2" t="s">
        <v>129</v>
      </c>
      <c r="B58" s="3" t="s">
        <v>31</v>
      </c>
      <c r="C58" s="2" t="s">
        <v>60</v>
      </c>
      <c r="D58" s="3" t="s">
        <v>14</v>
      </c>
      <c r="E58" s="3">
        <v>0</v>
      </c>
      <c r="F58" s="3" t="s">
        <v>15</v>
      </c>
      <c r="G58" s="3">
        <v>100</v>
      </c>
      <c r="H58" s="3">
        <v>100</v>
      </c>
      <c r="I58" s="3">
        <v>0</v>
      </c>
      <c r="J58" s="7">
        <f t="shared" si="0"/>
        <v>0</v>
      </c>
      <c r="K58" s="3">
        <f t="shared" si="1"/>
        <v>0</v>
      </c>
      <c r="L58" s="2" t="s">
        <v>100</v>
      </c>
    </row>
    <row r="59" spans="1:12" ht="47.25" x14ac:dyDescent="0.25">
      <c r="A59" s="2" t="s">
        <v>130</v>
      </c>
      <c r="B59" s="3" t="s">
        <v>31</v>
      </c>
      <c r="C59" s="2" t="s">
        <v>13</v>
      </c>
      <c r="D59" s="3" t="s">
        <v>14</v>
      </c>
      <c r="E59" s="3">
        <v>0</v>
      </c>
      <c r="F59" s="3" t="s">
        <v>15</v>
      </c>
      <c r="G59" s="3">
        <v>100</v>
      </c>
      <c r="H59" s="3">
        <v>100</v>
      </c>
      <c r="I59" s="3">
        <v>0</v>
      </c>
      <c r="J59" s="7">
        <f t="shared" si="0"/>
        <v>0</v>
      </c>
      <c r="K59" s="3">
        <f t="shared" si="1"/>
        <v>0</v>
      </c>
      <c r="L59" s="2" t="s">
        <v>100</v>
      </c>
    </row>
    <row r="60" spans="1:12" ht="47.25" x14ac:dyDescent="0.25">
      <c r="A60" s="2" t="s">
        <v>131</v>
      </c>
      <c r="B60" s="3" t="s">
        <v>31</v>
      </c>
      <c r="C60" s="2" t="s">
        <v>60</v>
      </c>
      <c r="D60" s="3" t="s">
        <v>14</v>
      </c>
      <c r="E60" s="3">
        <v>0</v>
      </c>
      <c r="F60" s="3" t="s">
        <v>15</v>
      </c>
      <c r="G60" s="3">
        <v>100</v>
      </c>
      <c r="H60" s="3">
        <v>100</v>
      </c>
      <c r="I60" s="3">
        <v>0</v>
      </c>
      <c r="J60" s="7">
        <f t="shared" si="0"/>
        <v>0</v>
      </c>
      <c r="K60" s="3">
        <f t="shared" si="1"/>
        <v>0</v>
      </c>
      <c r="L60" s="2" t="s">
        <v>132</v>
      </c>
    </row>
  </sheetData>
  <mergeCells count="11">
    <mergeCell ref="A57:L57"/>
    <mergeCell ref="A53:L53"/>
    <mergeCell ref="A46:L46"/>
    <mergeCell ref="A42:L42"/>
    <mergeCell ref="A34:L34"/>
    <mergeCell ref="A29:L29"/>
    <mergeCell ref="N1:U5"/>
    <mergeCell ref="A2:L2"/>
    <mergeCell ref="A11:L11"/>
    <mergeCell ref="A24:L24"/>
    <mergeCell ref="A18:L18"/>
  </mergeCells>
  <pageMargins left="0.7" right="0.7" top="0.75" bottom="0.75" header="0.3" footer="0.3"/>
  <pageSetup orientation="portrait" verticalDpi="0" r:id="rId1"/>
  <ignoredErrors>
    <ignoredError sqref="A1:F1 A4:I10 A2 A12:I17 A11 A30:I33 A29 A25:I28 A24 A19:I23 A18 A58:I60 A54:I56 A53 A47:I52 A46 A43:I45 A42 A35:I41 A34 J1:L1 H1 A3:D3 L3 L4:L10 L12:L17 L19:L23 L25:L28 L30:L33 L35:L41 L43:L45 L47:L52 L54:L56 L58:L60 F3:H3"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Bảng KPI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Đào Đạt</cp:lastModifiedBy>
  <dcterms:created xsi:type="dcterms:W3CDTF">2026-06-25T10:48:49Z</dcterms:created>
  <dcterms:modified xsi:type="dcterms:W3CDTF">2026-06-25T10:48:49Z</dcterms:modified>
</cp:coreProperties>
</file>